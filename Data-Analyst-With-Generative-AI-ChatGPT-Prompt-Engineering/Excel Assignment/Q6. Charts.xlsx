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orkar\Downloads\Excel Assignment\Excel Assignment\"/>
    </mc:Choice>
  </mc:AlternateContent>
  <xr:revisionPtr revIDLastSave="0" documentId="13_ncr:1_{F1C75D56-58A5-42D1-A58E-B72C330C7561}" xr6:coauthVersionLast="47" xr6:coauthVersionMax="47" xr10:uidLastSave="{00000000-0000-0000-0000-000000000000}"/>
  <bookViews>
    <workbookView xWindow="28680" yWindow="780" windowWidth="29040" windowHeight="15720" xr2:uid="{00000000-000D-0000-FFFF-FFFF00000000}"/>
  </bookViews>
  <sheets>
    <sheet name="Charts1" sheetId="1" r:id="rId1"/>
    <sheet name="Charts2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0oS+2/xsXl+urb1iAtYAU7e030EzJXiXg1fLrdYjMe4="/>
    </ext>
  </extLst>
</workbook>
</file>

<file path=xl/calcChain.xml><?xml version="1.0" encoding="utf-8"?>
<calcChain xmlns="http://schemas.openxmlformats.org/spreadsheetml/2006/main">
  <c r="D25" i="2" l="1"/>
  <c r="E24" i="2"/>
  <c r="F24" i="2" s="1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F14" i="2" l="1"/>
  <c r="F17" i="2"/>
  <c r="F18" i="2"/>
  <c r="F15" i="2"/>
  <c r="F16" i="2"/>
  <c r="F19" i="2"/>
  <c r="F20" i="2"/>
  <c r="F8" i="2"/>
  <c r="F10" i="2"/>
  <c r="F11" i="2"/>
  <c r="F23" i="2"/>
  <c r="F9" i="2"/>
  <c r="F21" i="2"/>
  <c r="F22" i="2"/>
  <c r="F12" i="2"/>
  <c r="F13" i="2"/>
</calcChain>
</file>

<file path=xl/sharedStrings.xml><?xml version="1.0" encoding="utf-8"?>
<sst xmlns="http://schemas.openxmlformats.org/spreadsheetml/2006/main" count="15" uniqueCount="10">
  <si>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</si>
  <si>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</si>
  <si>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</si>
  <si>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</si>
  <si>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</si>
  <si>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</si>
  <si>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</si>
  <si>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</si>
  <si>
    <t>Note - Do not use Pivot Table or Pivot charts</t>
  </si>
  <si>
    <t>Answer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</si>
</sst>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₹&quot;\ #,##0;[Red]&quot;₹&quot;\ \-#,##0"/>
  </numFmts>
  <fonts count="6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164" fontId="3" fillId="0" borderId="3" xfId="0" applyNumberFormat="1" applyFont="1" applyBorder="1"/>
    <xf numFmtId="0" fontId="3" fillId="0" borderId="4" xfId="0" applyFont="1" applyBorder="1"/>
    <xf numFmtId="164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6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6" fontId="3" fillId="0" borderId="1" xfId="0" applyNumberFormat="1" applyFont="1" applyBorder="1"/>
    <xf numFmtId="0" fontId="3" fillId="0" borderId="0" xfId="0" applyFont="1"/>
    <xf numFmtId="6" fontId="3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Revenue'000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384615384615387E-2"/>
          <c:y val="0.17341040462427745"/>
          <c:w val="0.91923076923076918"/>
          <c:h val="0.72480239103060096"/>
        </c:manualLayout>
      </c:layout>
      <c:scatterChart>
        <c:scatterStyle val="lineMarker"/>
        <c:varyColors val="0"/>
        <c:ser>
          <c:idx val="0"/>
          <c:order val="0"/>
          <c:tx>
            <c:strRef>
              <c:f>[1]Charts1!$D$5</c:f>
              <c:strCache>
                <c:ptCount val="1"/>
                <c:pt idx="0">
                  <c:v>Revenue'000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0064102564102567E-2"/>
                  <c:y val="-6.4226075786769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FC-437F-A97C-DC152E23C751}"/>
                </c:ext>
              </c:extLst>
            </c:dLbl>
            <c:dLbl>
              <c:idx val="1"/>
              <c:layout>
                <c:manualLayout>
                  <c:x val="-4.0064102564102567E-2"/>
                  <c:y val="-6.42260757867695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FC-437F-A97C-DC152E23C751}"/>
                </c:ext>
              </c:extLst>
            </c:dLbl>
            <c:dLbl>
              <c:idx val="2"/>
              <c:layout>
                <c:manualLayout>
                  <c:x val="-8.0128205128205135E-2"/>
                  <c:y val="-9.63391136801541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FC-437F-A97C-DC152E23C751}"/>
                </c:ext>
              </c:extLst>
            </c:dLbl>
            <c:dLbl>
              <c:idx val="3"/>
              <c:layout>
                <c:manualLayout>
                  <c:x val="-2.6709401709401708E-2"/>
                  <c:y val="-7.70712909441233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FC-437F-A97C-DC152E23C751}"/>
                </c:ext>
              </c:extLst>
            </c:dLbl>
            <c:dLbl>
              <c:idx val="5"/>
              <c:layout>
                <c:manualLayout>
                  <c:x val="-4.8076923076923128E-2"/>
                  <c:y val="3.8535645472061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BFC-437F-A97C-DC152E23C751}"/>
                </c:ext>
              </c:extLst>
            </c:dLbl>
            <c:dLbl>
              <c:idx val="6"/>
              <c:layout>
                <c:manualLayout>
                  <c:x val="-5.3418803418803416E-2"/>
                  <c:y val="-7.70712909441233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FC-437F-A97C-DC152E23C751}"/>
                </c:ext>
              </c:extLst>
            </c:dLbl>
            <c:dLbl>
              <c:idx val="7"/>
              <c:layout>
                <c:manualLayout>
                  <c:x val="-4.0064102564102567E-2"/>
                  <c:y val="5.78034682080924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BFC-437F-A97C-DC152E23C751}"/>
                </c:ext>
              </c:extLst>
            </c:dLbl>
            <c:dLbl>
              <c:idx val="8"/>
              <c:layout>
                <c:manualLayout>
                  <c:x val="-5.876068376068376E-2"/>
                  <c:y val="-6.4226075786769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FC-437F-A97C-DC152E23C751}"/>
                </c:ext>
              </c:extLst>
            </c:dLbl>
            <c:dLbl>
              <c:idx val="10"/>
              <c:layout>
                <c:manualLayout>
                  <c:x val="-6.6773504273504369E-2"/>
                  <c:y val="-7.06486833654463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BFC-437F-A97C-DC152E23C751}"/>
                </c:ext>
              </c:extLst>
            </c:dLbl>
            <c:dLbl>
              <c:idx val="11"/>
              <c:layout>
                <c:manualLayout>
                  <c:x val="-5.6089743589743689E-2"/>
                  <c:y val="-7.06486833654463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BFC-437F-A97C-DC152E23C751}"/>
                </c:ext>
              </c:extLst>
            </c:dLbl>
            <c:dLbl>
              <c:idx val="12"/>
              <c:layout>
                <c:manualLayout>
                  <c:x val="-5.3418803418803416E-2"/>
                  <c:y val="3.8535645472061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BFC-437F-A97C-DC152E23C751}"/>
                </c:ext>
              </c:extLst>
            </c:dLbl>
            <c:dLbl>
              <c:idx val="14"/>
              <c:layout>
                <c:manualLayout>
                  <c:x val="-1.0683760683760684E-2"/>
                  <c:y val="-5.78034682080924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BFC-437F-A97C-DC152E23C7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[1]Charts1!$C$6:$C$20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xVal>
          <c:yVal>
            <c:numRef>
              <c:f>[1]Charts1!$D$6:$D$20</c:f>
              <c:numCache>
                <c:formatCode>General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BFC-437F-A97C-DC152E23C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759376"/>
        <c:axId val="756067760"/>
      </c:scatterChart>
      <c:valAx>
        <c:axId val="934759376"/>
        <c:scaling>
          <c:orientation val="minMax"/>
          <c:max val="2004"/>
          <c:min val="199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067760"/>
        <c:crosses val="autoZero"/>
        <c:crossBetween val="midCat"/>
      </c:valAx>
      <c:valAx>
        <c:axId val="7560677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3475937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rnd" cmpd="sng" algn="ctr">
      <a:solidFill>
        <a:schemeClr val="accent4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15895542127003"/>
          <c:y val="0.18480697277815722"/>
          <c:w val="0.78123919103135364"/>
          <c:h val="0.71898484047922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[1]Charts2!$D$5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B23-430C-A9D1-DAE6313F1B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23-430C-A9D1-DAE6313F1B7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B23-430C-A9D1-DAE6313F1B7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23-430C-A9D1-DAE6313F1B7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B23-430C-A9D1-DAE6313F1B7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23-430C-A9D1-DAE6313F1B7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B23-430C-A9D1-DAE6313F1B7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B23-430C-A9D1-DAE6313F1B7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B23-430C-A9D1-DAE6313F1B7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B23-430C-A9D1-DAE6313F1B7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B23-430C-A9D1-DAE6313F1B7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B23-430C-A9D1-DAE6313F1B7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B23-430C-A9D1-DAE6313F1B7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B23-430C-A9D1-DAE6313F1B7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B23-430C-A9D1-DAE6313F1B73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B23-430C-A9D1-DAE6313F1B73}"/>
                </c:ext>
              </c:extLst>
            </c:dLbl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[1]Charts2!$C$6:$C$23</c:f>
              <c:numCache>
                <c:formatCode>General</c:formatCode>
                <c:ptCount val="18"/>
                <c:pt idx="0">
                  <c:v>38353</c:v>
                </c:pt>
                <c:pt idx="1">
                  <c:v>38718</c:v>
                </c:pt>
                <c:pt idx="2">
                  <c:v>39083</c:v>
                </c:pt>
                <c:pt idx="3">
                  <c:v>39448</c:v>
                </c:pt>
                <c:pt idx="4">
                  <c:v>39814</c:v>
                </c:pt>
                <c:pt idx="5">
                  <c:v>40179</c:v>
                </c:pt>
                <c:pt idx="6">
                  <c:v>40544</c:v>
                </c:pt>
                <c:pt idx="7">
                  <c:v>40909</c:v>
                </c:pt>
                <c:pt idx="8">
                  <c:v>41275</c:v>
                </c:pt>
                <c:pt idx="9">
                  <c:v>41640</c:v>
                </c:pt>
                <c:pt idx="10">
                  <c:v>42005</c:v>
                </c:pt>
                <c:pt idx="11">
                  <c:v>42370</c:v>
                </c:pt>
                <c:pt idx="12">
                  <c:v>42736</c:v>
                </c:pt>
                <c:pt idx="13">
                  <c:v>43101</c:v>
                </c:pt>
                <c:pt idx="14">
                  <c:v>43466</c:v>
                </c:pt>
                <c:pt idx="15">
                  <c:v>43831</c:v>
                </c:pt>
                <c:pt idx="16">
                  <c:v>44197</c:v>
                </c:pt>
                <c:pt idx="17">
                  <c:v>44562</c:v>
                </c:pt>
              </c:numCache>
            </c:numRef>
          </c:cat>
          <c:val>
            <c:numRef>
              <c:f>[1]Charts2!$D$6:$D$23</c:f>
              <c:numCache>
                <c:formatCode>General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B23-430C-A9D1-DAE6313F1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1553352320"/>
        <c:axId val="1580598672"/>
      </c:barChart>
      <c:lineChart>
        <c:grouping val="standard"/>
        <c:varyColors val="0"/>
        <c:ser>
          <c:idx val="1"/>
          <c:order val="1"/>
          <c:tx>
            <c:strRef>
              <c:f>[1]Charts2!$F$5</c:f>
              <c:strCache>
                <c:ptCount val="1"/>
                <c:pt idx="0">
                  <c:v>%</c:v>
                </c:pt>
              </c:strCache>
            </c:strRef>
          </c:tx>
          <c:spPr>
            <a:ln w="22225" cap="sq">
              <a:solidFill>
                <a:schemeClr val="tx1">
                  <a:alpha val="98000"/>
                </a:schemeClr>
              </a:solidFill>
              <a:round/>
              <a:headEnd w="med" len="lg"/>
            </a:ln>
            <a:effectLst>
              <a:softEdge rad="0"/>
            </a:effectLst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Pt>
            <c:idx val="17"/>
            <c:marker>
              <c:symbol val="diamond"/>
              <c:size val="8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DB23-430C-A9D1-DAE6313F1B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[1]Charts2!$C$6:$C$23</c:f>
              <c:numCache>
                <c:formatCode>General</c:formatCode>
                <c:ptCount val="18"/>
                <c:pt idx="0">
                  <c:v>38353</c:v>
                </c:pt>
                <c:pt idx="1">
                  <c:v>38718</c:v>
                </c:pt>
                <c:pt idx="2">
                  <c:v>39083</c:v>
                </c:pt>
                <c:pt idx="3">
                  <c:v>39448</c:v>
                </c:pt>
                <c:pt idx="4">
                  <c:v>39814</c:v>
                </c:pt>
                <c:pt idx="5">
                  <c:v>40179</c:v>
                </c:pt>
                <c:pt idx="6">
                  <c:v>40544</c:v>
                </c:pt>
                <c:pt idx="7">
                  <c:v>40909</c:v>
                </c:pt>
                <c:pt idx="8">
                  <c:v>41275</c:v>
                </c:pt>
                <c:pt idx="9">
                  <c:v>41640</c:v>
                </c:pt>
                <c:pt idx="10">
                  <c:v>42005</c:v>
                </c:pt>
                <c:pt idx="11">
                  <c:v>42370</c:v>
                </c:pt>
                <c:pt idx="12">
                  <c:v>42736</c:v>
                </c:pt>
                <c:pt idx="13">
                  <c:v>43101</c:v>
                </c:pt>
                <c:pt idx="14">
                  <c:v>43466</c:v>
                </c:pt>
                <c:pt idx="15">
                  <c:v>43831</c:v>
                </c:pt>
                <c:pt idx="16">
                  <c:v>44197</c:v>
                </c:pt>
                <c:pt idx="17">
                  <c:v>44562</c:v>
                </c:pt>
              </c:numCache>
            </c:numRef>
          </c:cat>
          <c:val>
            <c:numRef>
              <c:f>[1]Charts2!$F$6:$F$23</c:f>
              <c:numCache>
                <c:formatCode>General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B23-430C-A9D1-DAE6313F1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8092128"/>
        <c:axId val="1579185840"/>
      </c:lineChart>
      <c:catAx>
        <c:axId val="155335232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alpha val="92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598672"/>
        <c:crosses val="autoZero"/>
        <c:auto val="1"/>
        <c:lblAlgn val="ctr"/>
        <c:lblOffset val="100"/>
        <c:noMultiLvlLbl val="1"/>
      </c:catAx>
      <c:valAx>
        <c:axId val="158059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352320"/>
        <c:crosses val="autoZero"/>
        <c:crossBetween val="between"/>
      </c:valAx>
      <c:valAx>
        <c:axId val="1579185840"/>
        <c:scaling>
          <c:orientation val="minMax"/>
          <c:max val="1.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092128"/>
        <c:crosses val="max"/>
        <c:crossBetween val="between"/>
      </c:valAx>
      <c:catAx>
        <c:axId val="1428092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9185840"/>
        <c:crosses val="autoZero"/>
        <c:auto val="1"/>
        <c:lblAlgn val="ctr"/>
        <c:lblOffset val="100"/>
        <c:tickLblSkip val="1"/>
        <c:tickMarkSkip val="1"/>
        <c:noMultiLvlLbl val="1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466725</xdr:colOff>
      <xdr:row>6</xdr:row>
      <xdr:rowOff>57150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13</xdr:col>
      <xdr:colOff>60960</xdr:colOff>
      <xdr:row>20</xdr:row>
      <xdr:rowOff>87630</xdr:rowOff>
    </xdr:from>
    <xdr:to>
      <xdr:col>20</xdr:col>
      <xdr:colOff>563880</xdr:colOff>
      <xdr:row>31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C099BF-5A03-41B0-8BD0-15AA799F2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371475</xdr:colOff>
      <xdr:row>8</xdr:row>
      <xdr:rowOff>142875</xdr:rowOff>
    </xdr:from>
    <xdr:ext cx="3905250" cy="2257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12</xdr:col>
      <xdr:colOff>30480</xdr:colOff>
      <xdr:row>24</xdr:row>
      <xdr:rowOff>60960</xdr:rowOff>
    </xdr:from>
    <xdr:to>
      <xdr:col>18</xdr:col>
      <xdr:colOff>396240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133074-CD6A-488E-AEF2-F973A63B7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xcelR%20-%20DA\Advanced%20Excel\Assignments\Assignment%20Day%208.xlsx" TargetMode="External"/><Relationship Id="rId1" Type="http://schemas.openxmlformats.org/officeDocument/2006/relationships/externalLinkPath" Target="file:///E:\ExcelR%20-%20DA\Advanced%20Excel\Assignments\Assignment%20Day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s1"/>
      <sheetName val="Charts2"/>
      <sheetName val="Charts3"/>
    </sheetNames>
    <sheetDataSet>
      <sheetData sheetId="0">
        <row r="5">
          <cell r="D5" t="str">
            <v>Revenue'000</v>
          </cell>
        </row>
        <row r="6">
          <cell r="C6">
            <v>1990</v>
          </cell>
          <cell r="D6">
            <v>2156</v>
          </cell>
        </row>
        <row r="7">
          <cell r="C7">
            <v>1991</v>
          </cell>
          <cell r="D7">
            <v>3562</v>
          </cell>
        </row>
        <row r="8">
          <cell r="C8">
            <v>1992</v>
          </cell>
          <cell r="D8">
            <v>7506</v>
          </cell>
        </row>
        <row r="9">
          <cell r="C9">
            <v>1993</v>
          </cell>
          <cell r="D9">
            <v>6258</v>
          </cell>
        </row>
        <row r="10">
          <cell r="C10">
            <v>1994</v>
          </cell>
          <cell r="D10">
            <v>6279</v>
          </cell>
        </row>
        <row r="11">
          <cell r="C11">
            <v>1995</v>
          </cell>
          <cell r="D11">
            <v>1963</v>
          </cell>
        </row>
        <row r="12">
          <cell r="C12">
            <v>1996</v>
          </cell>
          <cell r="D12">
            <v>6736</v>
          </cell>
        </row>
        <row r="13">
          <cell r="C13">
            <v>1997</v>
          </cell>
          <cell r="D13">
            <v>3280</v>
          </cell>
        </row>
        <row r="14">
          <cell r="C14">
            <v>1998</v>
          </cell>
          <cell r="D14">
            <v>8398</v>
          </cell>
        </row>
        <row r="15">
          <cell r="C15">
            <v>1999</v>
          </cell>
          <cell r="D15">
            <v>2882</v>
          </cell>
        </row>
        <row r="16">
          <cell r="C16">
            <v>2000</v>
          </cell>
          <cell r="D16">
            <v>4686</v>
          </cell>
        </row>
        <row r="17">
          <cell r="C17">
            <v>2001</v>
          </cell>
          <cell r="D17">
            <v>6976</v>
          </cell>
        </row>
        <row r="18">
          <cell r="C18">
            <v>2002</v>
          </cell>
          <cell r="D18">
            <v>2173</v>
          </cell>
        </row>
        <row r="19">
          <cell r="C19">
            <v>2003</v>
          </cell>
          <cell r="D19">
            <v>2166</v>
          </cell>
        </row>
        <row r="20">
          <cell r="C20">
            <v>2004</v>
          </cell>
          <cell r="D20">
            <v>8418</v>
          </cell>
        </row>
      </sheetData>
      <sheetData sheetId="1">
        <row r="5">
          <cell r="D5" t="str">
            <v>Revenue'000</v>
          </cell>
          <cell r="F5" t="str">
            <v>%</v>
          </cell>
        </row>
        <row r="6">
          <cell r="C6">
            <v>38353</v>
          </cell>
          <cell r="D6">
            <v>528</v>
          </cell>
          <cell r="F6"/>
        </row>
        <row r="7">
          <cell r="C7">
            <v>38718</v>
          </cell>
          <cell r="D7">
            <v>4550</v>
          </cell>
          <cell r="F7">
            <v>6.5615712624370076E-2</v>
          </cell>
        </row>
        <row r="8">
          <cell r="C8">
            <v>39083</v>
          </cell>
          <cell r="D8">
            <v>8189</v>
          </cell>
          <cell r="F8">
            <v>0.17143041736658482</v>
          </cell>
        </row>
        <row r="9">
          <cell r="C9">
            <v>39448</v>
          </cell>
          <cell r="D9">
            <v>1730</v>
          </cell>
          <cell r="F9">
            <v>0.19378472670887711</v>
          </cell>
        </row>
        <row r="10">
          <cell r="C10">
            <v>39814</v>
          </cell>
          <cell r="D10">
            <v>5262</v>
          </cell>
          <cell r="F10">
            <v>0.26177800749450836</v>
          </cell>
        </row>
        <row r="11">
          <cell r="C11">
            <v>40179</v>
          </cell>
          <cell r="D11">
            <v>2172</v>
          </cell>
          <cell r="F11">
            <v>0.28984364905026488</v>
          </cell>
        </row>
        <row r="12">
          <cell r="C12">
            <v>40544</v>
          </cell>
          <cell r="D12">
            <v>4384</v>
          </cell>
          <cell r="F12">
            <v>0.34649179480553044</v>
          </cell>
        </row>
        <row r="13">
          <cell r="C13">
            <v>40909</v>
          </cell>
          <cell r="D13">
            <v>8709</v>
          </cell>
          <cell r="F13">
            <v>0.45902571391652669</v>
          </cell>
        </row>
        <row r="14">
          <cell r="C14">
            <v>41275</v>
          </cell>
          <cell r="D14">
            <v>3618</v>
          </cell>
          <cell r="F14">
            <v>0.50577594004393334</v>
          </cell>
        </row>
        <row r="15">
          <cell r="C15">
            <v>41640</v>
          </cell>
          <cell r="D15">
            <v>6372</v>
          </cell>
          <cell r="F15">
            <v>0.58811215919369431</v>
          </cell>
        </row>
        <row r="16">
          <cell r="C16">
            <v>42005</v>
          </cell>
          <cell r="D16">
            <v>3456</v>
          </cell>
          <cell r="F16">
            <v>0.6327690916139036</v>
          </cell>
        </row>
        <row r="17">
          <cell r="C17">
            <v>42370</v>
          </cell>
          <cell r="D17">
            <v>7478</v>
          </cell>
          <cell r="F17">
            <v>0.72939656286341903</v>
          </cell>
        </row>
        <row r="18">
          <cell r="C18">
            <v>42736</v>
          </cell>
          <cell r="D18">
            <v>4649</v>
          </cell>
          <cell r="F18">
            <v>0.78946892363354437</v>
          </cell>
        </row>
        <row r="19">
          <cell r="C19">
            <v>43101</v>
          </cell>
          <cell r="D19">
            <v>5831</v>
          </cell>
          <cell r="F19">
            <v>0.86481457552655383</v>
          </cell>
        </row>
        <row r="20">
          <cell r="C20">
            <v>43466</v>
          </cell>
          <cell r="D20">
            <v>1599</v>
          </cell>
          <cell r="F20">
            <v>0.88547615971055693</v>
          </cell>
        </row>
        <row r="21">
          <cell r="C21">
            <v>43831</v>
          </cell>
          <cell r="D21">
            <v>3695</v>
          </cell>
          <cell r="F21">
            <v>0.93322134642718702</v>
          </cell>
        </row>
        <row r="22">
          <cell r="C22">
            <v>44197</v>
          </cell>
          <cell r="D22">
            <v>1678</v>
          </cell>
          <cell r="F22">
            <v>0.95490373433260112</v>
          </cell>
        </row>
        <row r="23">
          <cell r="C23">
            <v>44562</v>
          </cell>
          <cell r="D23">
            <v>3490</v>
          </cell>
          <cell r="F23">
            <v>1</v>
          </cell>
        </row>
      </sheetData>
      <sheetData sheetId="2">
        <row r="5">
          <cell r="D5" t="str">
            <v>weight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W1000"/>
  <sheetViews>
    <sheetView tabSelected="1" workbookViewId="0">
      <selection activeCell="K12" sqref="K12"/>
    </sheetView>
  </sheetViews>
  <sheetFormatPr defaultColWidth="14.453125" defaultRowHeight="15" customHeight="1" x14ac:dyDescent="0.35"/>
  <cols>
    <col min="1" max="3" width="8.6328125" customWidth="1"/>
    <col min="4" max="4" width="11.6328125" customWidth="1"/>
    <col min="5" max="26" width="8.6328125" customWidth="1"/>
  </cols>
  <sheetData>
    <row r="1" spans="3:4" ht="14.25" customHeight="1" x14ac:dyDescent="0.35"/>
    <row r="2" spans="3:4" ht="14.25" customHeight="1" x14ac:dyDescent="0.35">
      <c r="C2" s="1" t="s">
        <v>0</v>
      </c>
    </row>
    <row r="3" spans="3:4" ht="14.25" customHeight="1" x14ac:dyDescent="0.35">
      <c r="C3" s="1" t="s">
        <v>1</v>
      </c>
    </row>
    <row r="4" spans="3:4" ht="14.25" customHeight="1" x14ac:dyDescent="0.35">
      <c r="C4" s="1" t="s">
        <v>8</v>
      </c>
    </row>
    <row r="5" spans="3:4" ht="14.25" customHeight="1" x14ac:dyDescent="0.35"/>
    <row r="6" spans="3:4" ht="14.25" customHeight="1" x14ac:dyDescent="0.35">
      <c r="C6" s="2" t="s">
        <v>2</v>
      </c>
      <c r="D6" s="2" t="s">
        <v>3</v>
      </c>
    </row>
    <row r="7" spans="3:4" ht="14.25" customHeight="1" x14ac:dyDescent="0.35">
      <c r="C7" s="3">
        <v>1990</v>
      </c>
      <c r="D7" s="4">
        <v>2156</v>
      </c>
    </row>
    <row r="8" spans="3:4" ht="14.25" customHeight="1" x14ac:dyDescent="0.35">
      <c r="C8" s="3">
        <v>1991</v>
      </c>
      <c r="D8" s="4">
        <v>3562</v>
      </c>
    </row>
    <row r="9" spans="3:4" ht="14.25" customHeight="1" x14ac:dyDescent="0.35">
      <c r="C9" s="3">
        <v>1992</v>
      </c>
      <c r="D9" s="4">
        <v>7506</v>
      </c>
    </row>
    <row r="10" spans="3:4" ht="14.25" customHeight="1" x14ac:dyDescent="0.35">
      <c r="C10" s="3">
        <v>1993</v>
      </c>
      <c r="D10" s="4">
        <v>6258</v>
      </c>
    </row>
    <row r="11" spans="3:4" ht="14.25" customHeight="1" x14ac:dyDescent="0.35">
      <c r="C11" s="3">
        <v>1994</v>
      </c>
      <c r="D11" s="4">
        <v>6279</v>
      </c>
    </row>
    <row r="12" spans="3:4" ht="14.25" customHeight="1" x14ac:dyDescent="0.35">
      <c r="C12" s="3">
        <v>1995</v>
      </c>
      <c r="D12" s="4">
        <v>1963</v>
      </c>
    </row>
    <row r="13" spans="3:4" ht="14.25" customHeight="1" x14ac:dyDescent="0.35">
      <c r="C13" s="3">
        <v>1996</v>
      </c>
      <c r="D13" s="4">
        <v>6736</v>
      </c>
    </row>
    <row r="14" spans="3:4" ht="14.25" customHeight="1" x14ac:dyDescent="0.35">
      <c r="C14" s="3">
        <v>1997</v>
      </c>
      <c r="D14" s="4">
        <v>3280</v>
      </c>
    </row>
    <row r="15" spans="3:4" ht="14.25" customHeight="1" x14ac:dyDescent="0.35">
      <c r="C15" s="3">
        <v>1998</v>
      </c>
      <c r="D15" s="4">
        <v>8398</v>
      </c>
    </row>
    <row r="16" spans="3:4" ht="14.25" customHeight="1" x14ac:dyDescent="0.35">
      <c r="C16" s="3">
        <v>1999</v>
      </c>
      <c r="D16" s="4">
        <v>2882</v>
      </c>
    </row>
    <row r="17" spans="3:23" ht="14.25" customHeight="1" x14ac:dyDescent="0.35">
      <c r="C17" s="3">
        <v>2000</v>
      </c>
      <c r="D17" s="4">
        <v>4686</v>
      </c>
    </row>
    <row r="18" spans="3:23" ht="14.25" customHeight="1" x14ac:dyDescent="0.35">
      <c r="C18" s="3">
        <v>2001</v>
      </c>
      <c r="D18" s="4">
        <v>6976</v>
      </c>
    </row>
    <row r="19" spans="3:23" ht="14.25" customHeight="1" x14ac:dyDescent="0.35">
      <c r="C19" s="3">
        <v>2002</v>
      </c>
      <c r="D19" s="4">
        <v>2173</v>
      </c>
    </row>
    <row r="20" spans="3:23" ht="14.25" customHeight="1" x14ac:dyDescent="0.35">
      <c r="C20" s="3">
        <v>2003</v>
      </c>
      <c r="D20" s="4">
        <v>2166</v>
      </c>
    </row>
    <row r="21" spans="3:23" ht="14.25" customHeight="1" x14ac:dyDescent="0.35">
      <c r="C21" s="5">
        <v>2004</v>
      </c>
      <c r="D21" s="6">
        <v>8418</v>
      </c>
    </row>
    <row r="22" spans="3:23" ht="14.25" customHeight="1" x14ac:dyDescent="0.35"/>
    <row r="23" spans="3:23" ht="14.25" customHeight="1" x14ac:dyDescent="0.35">
      <c r="W23" s="17" t="s">
        <v>9</v>
      </c>
    </row>
    <row r="24" spans="3:23" ht="14.25" customHeight="1" x14ac:dyDescent="0.35"/>
    <row r="25" spans="3:23" ht="14.25" customHeight="1" x14ac:dyDescent="0.35"/>
    <row r="26" spans="3:23" ht="14.25" customHeight="1" x14ac:dyDescent="0.35"/>
    <row r="27" spans="3:23" ht="14.25" customHeight="1" x14ac:dyDescent="0.35"/>
    <row r="28" spans="3:23" ht="14.25" customHeight="1" x14ac:dyDescent="0.35"/>
    <row r="29" spans="3:23" ht="14.25" customHeight="1" x14ac:dyDescent="0.35"/>
    <row r="30" spans="3:23" ht="14.25" customHeight="1" x14ac:dyDescent="0.35"/>
    <row r="31" spans="3:23" ht="14.25" customHeight="1" x14ac:dyDescent="0.35"/>
    <row r="32" spans="3:23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U1000"/>
  <sheetViews>
    <sheetView workbookViewId="0">
      <selection activeCell="H11" sqref="H11"/>
    </sheetView>
  </sheetViews>
  <sheetFormatPr defaultColWidth="14.453125" defaultRowHeight="15" customHeight="1" x14ac:dyDescent="0.35"/>
  <cols>
    <col min="1" max="3" width="8.6328125" customWidth="1"/>
    <col min="4" max="4" width="11.6328125" customWidth="1"/>
    <col min="5" max="5" width="12.6328125" customWidth="1"/>
    <col min="6" max="26" width="8.6328125" customWidth="1"/>
  </cols>
  <sheetData>
    <row r="1" spans="3:6" ht="14.25" customHeight="1" x14ac:dyDescent="0.35"/>
    <row r="2" spans="3:6" ht="14.25" customHeight="1" x14ac:dyDescent="0.35">
      <c r="C2" s="1" t="s">
        <v>4</v>
      </c>
    </row>
    <row r="3" spans="3:6" ht="14.25" customHeight="1" x14ac:dyDescent="0.35">
      <c r="C3" s="1" t="s">
        <v>1</v>
      </c>
    </row>
    <row r="4" spans="3:6" ht="14.25" customHeight="1" x14ac:dyDescent="0.35">
      <c r="C4" s="1" t="s">
        <v>8</v>
      </c>
    </row>
    <row r="5" spans="3:6" ht="14.25" customHeight="1" x14ac:dyDescent="0.35"/>
    <row r="6" spans="3:6" ht="14.25" customHeight="1" x14ac:dyDescent="0.35">
      <c r="C6" s="7" t="s">
        <v>2</v>
      </c>
      <c r="D6" s="8" t="s">
        <v>3</v>
      </c>
      <c r="E6" s="8" t="s">
        <v>5</v>
      </c>
      <c r="F6" s="9" t="s">
        <v>6</v>
      </c>
    </row>
    <row r="7" spans="3:6" ht="14.25" customHeight="1" x14ac:dyDescent="0.35">
      <c r="C7" s="3">
        <v>2005</v>
      </c>
      <c r="D7" s="10">
        <v>528</v>
      </c>
      <c r="E7" s="11"/>
      <c r="F7" s="12"/>
    </row>
    <row r="8" spans="3:6" ht="14.25" customHeight="1" x14ac:dyDescent="0.35">
      <c r="C8" s="3">
        <v>2006</v>
      </c>
      <c r="D8" s="10">
        <v>4550</v>
      </c>
      <c r="E8" s="13">
        <f t="shared" ref="E8:E24" si="0">SUM($D$6:D8)</f>
        <v>5078</v>
      </c>
      <c r="F8" s="11">
        <f t="shared" ref="F8:F24" si="1">E8/$E$24</f>
        <v>6.5615712624370076E-2</v>
      </c>
    </row>
    <row r="9" spans="3:6" ht="14.25" customHeight="1" x14ac:dyDescent="0.35">
      <c r="C9" s="3">
        <v>2007</v>
      </c>
      <c r="D9" s="10">
        <v>8189</v>
      </c>
      <c r="E9" s="13">
        <f t="shared" si="0"/>
        <v>13267</v>
      </c>
      <c r="F9" s="11">
        <f t="shared" si="1"/>
        <v>0.17143041736658482</v>
      </c>
    </row>
    <row r="10" spans="3:6" ht="14.25" customHeight="1" x14ac:dyDescent="0.35">
      <c r="C10" s="3">
        <v>2008</v>
      </c>
      <c r="D10" s="10">
        <v>1730</v>
      </c>
      <c r="E10" s="13">
        <f t="shared" si="0"/>
        <v>14997</v>
      </c>
      <c r="F10" s="11">
        <f t="shared" si="1"/>
        <v>0.19378472670887711</v>
      </c>
    </row>
    <row r="11" spans="3:6" ht="14.25" customHeight="1" x14ac:dyDescent="0.35">
      <c r="C11" s="3">
        <v>2009</v>
      </c>
      <c r="D11" s="10">
        <v>5262</v>
      </c>
      <c r="E11" s="13">
        <f t="shared" si="0"/>
        <v>20259</v>
      </c>
      <c r="F11" s="11">
        <f t="shared" si="1"/>
        <v>0.26177800749450836</v>
      </c>
    </row>
    <row r="12" spans="3:6" ht="14.25" customHeight="1" x14ac:dyDescent="0.35">
      <c r="C12" s="3">
        <v>2010</v>
      </c>
      <c r="D12" s="10">
        <v>2172</v>
      </c>
      <c r="E12" s="13">
        <f t="shared" si="0"/>
        <v>22431</v>
      </c>
      <c r="F12" s="11">
        <f t="shared" si="1"/>
        <v>0.28984364905026488</v>
      </c>
    </row>
    <row r="13" spans="3:6" ht="14.25" customHeight="1" x14ac:dyDescent="0.35">
      <c r="C13" s="3">
        <v>2011</v>
      </c>
      <c r="D13" s="10">
        <v>4384</v>
      </c>
      <c r="E13" s="13">
        <f t="shared" si="0"/>
        <v>26815</v>
      </c>
      <c r="F13" s="11">
        <f t="shared" si="1"/>
        <v>0.34649179480553044</v>
      </c>
    </row>
    <row r="14" spans="3:6" ht="14.25" customHeight="1" x14ac:dyDescent="0.35">
      <c r="C14" s="3">
        <v>2012</v>
      </c>
      <c r="D14" s="10">
        <v>8709</v>
      </c>
      <c r="E14" s="13">
        <f t="shared" si="0"/>
        <v>35524</v>
      </c>
      <c r="F14" s="11">
        <f t="shared" si="1"/>
        <v>0.45902571391652669</v>
      </c>
    </row>
    <row r="15" spans="3:6" ht="14.25" customHeight="1" x14ac:dyDescent="0.35">
      <c r="C15" s="3">
        <v>2013</v>
      </c>
      <c r="D15" s="10">
        <v>3618</v>
      </c>
      <c r="E15" s="13">
        <f t="shared" si="0"/>
        <v>39142</v>
      </c>
      <c r="F15" s="11">
        <f t="shared" si="1"/>
        <v>0.50577594004393334</v>
      </c>
    </row>
    <row r="16" spans="3:6" ht="14.25" customHeight="1" x14ac:dyDescent="0.35">
      <c r="C16" s="3">
        <v>2014</v>
      </c>
      <c r="D16" s="10">
        <v>6372</v>
      </c>
      <c r="E16" s="13">
        <f t="shared" si="0"/>
        <v>45514</v>
      </c>
      <c r="F16" s="11">
        <f t="shared" si="1"/>
        <v>0.58811215919369431</v>
      </c>
    </row>
    <row r="17" spans="3:21" ht="14.25" customHeight="1" x14ac:dyDescent="0.35">
      <c r="C17" s="3">
        <v>2015</v>
      </c>
      <c r="D17" s="10">
        <v>3456</v>
      </c>
      <c r="E17" s="13">
        <f t="shared" si="0"/>
        <v>48970</v>
      </c>
      <c r="F17" s="11">
        <f t="shared" si="1"/>
        <v>0.6327690916139036</v>
      </c>
    </row>
    <row r="18" spans="3:21" ht="14.25" customHeight="1" x14ac:dyDescent="0.35">
      <c r="C18" s="3">
        <v>2016</v>
      </c>
      <c r="D18" s="10">
        <v>7478</v>
      </c>
      <c r="E18" s="13">
        <f t="shared" si="0"/>
        <v>56448</v>
      </c>
      <c r="F18" s="11">
        <f t="shared" si="1"/>
        <v>0.72939656286341903</v>
      </c>
    </row>
    <row r="19" spans="3:21" ht="14.25" customHeight="1" x14ac:dyDescent="0.35">
      <c r="C19" s="3">
        <v>2017</v>
      </c>
      <c r="D19" s="10">
        <v>4649</v>
      </c>
      <c r="E19" s="13">
        <f t="shared" si="0"/>
        <v>61097</v>
      </c>
      <c r="F19" s="11">
        <f t="shared" si="1"/>
        <v>0.78946892363354437</v>
      </c>
    </row>
    <row r="20" spans="3:21" ht="14.25" customHeight="1" x14ac:dyDescent="0.35">
      <c r="C20" s="3">
        <v>2018</v>
      </c>
      <c r="D20" s="10">
        <v>5831</v>
      </c>
      <c r="E20" s="13">
        <f t="shared" si="0"/>
        <v>66928</v>
      </c>
      <c r="F20" s="11">
        <f t="shared" si="1"/>
        <v>0.86481457552655383</v>
      </c>
    </row>
    <row r="21" spans="3:21" ht="14.25" customHeight="1" x14ac:dyDescent="0.35">
      <c r="C21" s="3">
        <v>2019</v>
      </c>
      <c r="D21" s="10">
        <v>1599</v>
      </c>
      <c r="E21" s="13">
        <f t="shared" si="0"/>
        <v>68527</v>
      </c>
      <c r="F21" s="11">
        <f t="shared" si="1"/>
        <v>0.88547615971055693</v>
      </c>
    </row>
    <row r="22" spans="3:21" ht="14.25" customHeight="1" x14ac:dyDescent="0.35">
      <c r="C22" s="3">
        <v>2020</v>
      </c>
      <c r="D22" s="10">
        <v>3695</v>
      </c>
      <c r="E22" s="13">
        <f t="shared" si="0"/>
        <v>72222</v>
      </c>
      <c r="F22" s="11">
        <f t="shared" si="1"/>
        <v>0.93322134642718702</v>
      </c>
    </row>
    <row r="23" spans="3:21" ht="14.25" customHeight="1" x14ac:dyDescent="0.35">
      <c r="C23" s="3">
        <v>2021</v>
      </c>
      <c r="D23" s="10">
        <v>1678</v>
      </c>
      <c r="E23" s="13">
        <f t="shared" si="0"/>
        <v>73900</v>
      </c>
      <c r="F23" s="11">
        <f t="shared" si="1"/>
        <v>0.95490373433260112</v>
      </c>
    </row>
    <row r="24" spans="3:21" ht="14.25" customHeight="1" x14ac:dyDescent="0.35">
      <c r="C24" s="5">
        <v>2022</v>
      </c>
      <c r="D24" s="14">
        <v>3490</v>
      </c>
      <c r="E24" s="13">
        <f t="shared" si="0"/>
        <v>77390</v>
      </c>
      <c r="F24" s="11">
        <f t="shared" si="1"/>
        <v>1</v>
      </c>
    </row>
    <row r="25" spans="3:21" ht="14.25" customHeight="1" x14ac:dyDescent="0.35">
      <c r="C25" s="15" t="s">
        <v>7</v>
      </c>
      <c r="D25" s="16">
        <f>SUM(D7:D24)</f>
        <v>77390</v>
      </c>
    </row>
    <row r="26" spans="3:21" ht="14.25" customHeight="1" x14ac:dyDescent="0.35">
      <c r="U26" s="17" t="s">
        <v>9</v>
      </c>
    </row>
    <row r="27" spans="3:21" ht="14.25" customHeight="1" x14ac:dyDescent="0.35"/>
    <row r="28" spans="3:21" ht="14.25" customHeight="1" x14ac:dyDescent="0.35"/>
    <row r="29" spans="3:21" ht="14.25" customHeight="1" x14ac:dyDescent="0.35"/>
    <row r="30" spans="3:21" ht="14.25" customHeight="1" x14ac:dyDescent="0.35"/>
    <row r="31" spans="3:21" ht="14.25" customHeight="1" x14ac:dyDescent="0.35"/>
    <row r="32" spans="3:2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docMetadata/LabelInfo.xml><?xml version="1.0" encoding="utf-8"?>
<clbl:labelList xmlns:clbl="http://schemas.microsoft.com/office/2020/mipLabelMetadata">
  <clbl:label id="{7191b2d3-7d38-48ed-b3a4-7a9f420ca5cd}" enabled="1" method="Standard" siteId="{374f8026-7b54-4a3a-b87d-328fa26ec10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Rajesh Dorkar</cp:lastModifiedBy>
  <dcterms:created xsi:type="dcterms:W3CDTF">2022-07-29T06:27:39Z</dcterms:created>
  <dcterms:modified xsi:type="dcterms:W3CDTF">2026-04-01T05:26:57Z</dcterms:modified>
</cp:coreProperties>
</file>